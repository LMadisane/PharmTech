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72b36f43e44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9cf63e7a65459b"/>
  </x:sheets>
</x:workbook>
</file>

<file path=xl/sharedStrings.xml><?xml version="1.0" encoding="utf-8"?>
<x:sst xmlns:x="http://schemas.openxmlformats.org/spreadsheetml/2006/main">
  <x:si>
    <x:t xml:space="preserve">Task</x:t>
  </x:si>
  <x:si>
    <x:t xml:space="preserve">System</x:t>
  </x:si>
  <x:si>
    <x:t xml:space="preserve">Run 1 (seconds)</x:t>
  </x:si>
  <x:si>
    <x:t xml:space="preserve">Run 2 (seconds)</x:t>
  </x:si>
  <x:si>
    <x:t xml:space="preserve">Run 3 (seconds)</x:t>
  </x:si>
  <x:si>
    <x:t xml:space="preserve">T1 - Medicine lookup</x:t>
  </x:si>
  <x:si>
    <x:t xml:space="preserve">Spreadsheet</x:t>
  </x:si>
  <x:si>
    <x:t xml:space="preserve">PharmTech</x:t>
  </x:si>
  <x:si>
    <x:t xml:space="preserve">T2 - Add stock batch</x:t>
  </x:si>
  <x:si>
    <x:t xml:space="preserve">T3 - Create prescription</x:t>
  </x:si>
  <x:si>
    <x:t xml:space="preserve">T4 - Dispense prescription</x:t>
  </x:si>
  <x:si>
    <x:t xml:space="preserve">T5 - Process drug return</x:t>
  </x:si>
</x:sst>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0" fontId="0" fillId="0" borderId="0" xfId="0" applyFont="1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47ad18d6149c9" /><Relationship Type="http://schemas.openxmlformats.org/officeDocument/2006/relationships/theme" Target="/xl/theme/theme1.xml" Id="R6a3e0cb0338d4144" /><Relationship Type="http://schemas.openxmlformats.org/officeDocument/2006/relationships/sharedStrings" Target="/xl/sharedStrings.xml" Id="R4f31107a32be4936" /><Relationship Type="http://schemas.openxmlformats.org/officeDocument/2006/relationships/worksheet" Target="/xl/worksheets/sheet1.xml" Id="R169cf63e7a65459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28515625" customWidth="1"/>
    <x:col min="2" max="2" width="26" customWidth="1"/>
    <x:col min="3" max="3" width="15.7109375" customWidth="1"/>
    <x:col min="4" max="4" width="15.5703125" customWidth="1"/>
    <x:col min="5" max="5" width="15.42578125" customWidth="1"/>
    <x:col min="6" max="6" width="18.57031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tr">
        <x:v>Median (seconds)</x:v>
      </x:c>
    </x:row>
    <x:row r="2">
      <x:c r="A2" t="s">
        <x:v>5</x:v>
      </x:c>
      <x:c r="B2" t="s">
        <x:v>6</x:v>
      </x:c>
      <x:c r="C2" s="3">
        <x:v>11.54</x:v>
      </x:c>
      <x:c r="D2" s="3">
        <x:v>9.51</x:v>
      </x:c>
      <x:c r="E2" s="3">
        <x:v>8.86</x:v>
      </x:c>
      <x:c r="F2" s="3" t="n">
        <x:f>MEDIAN(C2:E2)</x:f>
        <x:v>9.51</x:v>
      </x:c>
    </x:row>
    <x:row r="3">
      <x:c r="A3" t="s">
        <x:v>5</x:v>
      </x:c>
      <x:c r="B3" t="s">
        <x:v>7</x:v>
      </x:c>
      <x:c r="C3" s="3">
        <x:v>4.09</x:v>
      </x:c>
      <x:c r="D3" s="3">
        <x:v>4.72</x:v>
      </x:c>
      <x:c r="E3" s="3">
        <x:v>4.41</x:v>
      </x:c>
      <x:c r="F3" s="3" t="n">
        <x:f>MEDIAN(C3:E3)</x:f>
        <x:v>4.41</x:v>
      </x:c>
    </x:row>
    <x:row r="4">
      <x:c r="A4" t="s">
        <x:v>8</x:v>
      </x:c>
      <x:c r="B4" t="s">
        <x:v>6</x:v>
      </x:c>
      <x:c r="C4" s="3">
        <x:v>70.040000000000006</x:v>
      </x:c>
      <x:c r="D4" s="3">
        <x:v>55.17</x:v>
      </x:c>
      <x:c r="E4" s="3">
        <x:v>59.38</x:v>
      </x:c>
      <x:c r="F4" s="3" t="n">
        <x:f>MEDIAN(C4:E4)</x:f>
        <x:v>59.38</x:v>
      </x:c>
    </x:row>
    <x:row r="5">
      <x:c r="A5" t="s">
        <x:v>8</x:v>
      </x:c>
      <x:c r="B5" t="s">
        <x:v>7</x:v>
      </x:c>
      <x:c r="C5" s="3">
        <x:v>27.27</x:v>
      </x:c>
      <x:c r="D5" s="3">
        <x:v>28.51</x:v>
      </x:c>
      <x:c r="E5" s="3">
        <x:v>22.38</x:v>
      </x:c>
      <x:c r="F5" s="3" t="n">
        <x:f>MEDIAN(C5:E5)</x:f>
        <x:v>27.27</x:v>
      </x:c>
    </x:row>
    <x:row r="6">
      <x:c r="A6" t="s">
        <x:v>9</x:v>
      </x:c>
      <x:c r="B6" t="s">
        <x:v>6</x:v>
      </x:c>
      <x:c r="C6" s="3">
        <x:v>41.97</x:v>
      </x:c>
      <x:c r="D6" s="3">
        <x:v>40.64</x:v>
      </x:c>
      <x:c r="E6" s="3">
        <x:v>37.229999999999997</x:v>
      </x:c>
      <x:c r="F6" s="3" t="n">
        <x:f>MEDIAN(C6:E6)</x:f>
        <x:v>40.64</x:v>
      </x:c>
    </x:row>
    <x:row r="7">
      <x:c r="A7" t="s">
        <x:v>9</x:v>
      </x:c>
      <x:c r="B7" t="s">
        <x:v>7</x:v>
      </x:c>
      <x:c r="C7" s="3">
        <x:v>14.77</x:v>
      </x:c>
      <x:c r="D7" s="3">
        <x:v>13.31</x:v>
      </x:c>
      <x:c r="E7" s="3">
        <x:v>12.32</x:v>
      </x:c>
      <x:c r="F7" s="3" t="n">
        <x:f>MEDIAN(C7:E7)</x:f>
        <x:v>13.31</x:v>
      </x:c>
    </x:row>
    <x:row r="8">
      <x:c r="A8" t="s">
        <x:v>10</x:v>
      </x:c>
      <x:c r="B8" t="s">
        <x:v>6</x:v>
      </x:c>
      <x:c r="C8" s="3">
        <x:v>59.95</x:v>
      </x:c>
      <x:c r="D8" s="3">
        <x:v>50.05</x:v>
      </x:c>
      <x:c r="E8" s="3">
        <x:v>50.94</x:v>
      </x:c>
      <x:c r="F8" s="3" t="n">
        <x:f>MEDIAN(C8:E8)</x:f>
        <x:v>50.94</x:v>
      </x:c>
    </x:row>
    <x:row r="9">
      <x:c r="A9" t="s">
        <x:v>10</x:v>
      </x:c>
      <x:c r="B9" t="s">
        <x:v>7</x:v>
      </x:c>
      <x:c r="C9" s="3">
        <x:v>11.9</x:v>
      </x:c>
      <x:c r="D9" s="3">
        <x:v>12.31</x:v>
      </x:c>
      <x:c r="E9" s="3">
        <x:v>9.9600000000000009</x:v>
      </x:c>
      <x:c r="F9" s="3" t="n">
        <x:f>MEDIAN(C9:E9)</x:f>
        <x:v>11.9</x:v>
      </x:c>
    </x:row>
    <x:row r="10">
      <x:c r="A10" t="s">
        <x:v>11</x:v>
      </x:c>
      <x:c r="B10" t="s">
        <x:v>6</x:v>
      </x:c>
      <x:c r="C10" s="3">
        <x:v>100.93</x:v>
      </x:c>
      <x:c r="D10" s="3">
        <x:v>102.57</x:v>
      </x:c>
      <x:c r="E10" s="3">
        <x:v>94.42</x:v>
      </x:c>
      <x:c r="F10" s="3" t="n">
        <x:f>MEDIAN(C10:E10)</x:f>
        <x:v>100.93</x:v>
      </x:c>
    </x:row>
    <x:row r="11">
      <x:c r="A11" t="s">
        <x:v>11</x:v>
      </x:c>
      <x:c r="B11" t="s">
        <x:v>7</x:v>
      </x:c>
      <x:c r="C11" s="3">
        <x:v>33.700000000000003</x:v>
      </x:c>
      <x:c r="D11" s="3">
        <x:v>28.87</x:v>
      </x:c>
      <x:c r="E11" s="3">
        <x:v>28.51</x:v>
      </x:c>
      <x:c r="F11" s="3" t="n">
        <x:f>MEDIAN(C11:E11)</x:f>
        <x:v>28.87</x:v>
      </x:c>
    </x:row>
    <x:row r="12">
      <x:c r="A12" t="str">
        <x:v>Total across task medians</x:v>
      </x:c>
      <x:c r="B12" s="1" t="str">
        <x:v>Spreadsheet</x:v>
      </x:c>
      <x:c r="C12" s="3"/>
      <x:c r="D12" s="3"/>
      <x:c r="E12" s="3"/>
      <x:c r="F12" s="4" t="n">
        <x:f>SUM(F2,F4,F6,F8,F10)</x:f>
        <x:v>261.4</x:v>
      </x:c>
    </x:row>
    <x:row r="13">
      <x:c r="A13" t="str">
        <x:v>Total across task medians</x:v>
      </x:c>
      <x:c r="B13" s="1" t="str">
        <x:v>PharmTech</x:v>
      </x:c>
      <x:c r="C13" s="3"/>
      <x:c r="D13" s="3"/>
      <x:c r="E13" s="3"/>
      <x:c r="F13" s="4" t="n">
        <x:f>SUM(F3,F5,F7,F9,F11)</x:f>
        <x:v>85.76</x:v>
      </x:c>
    </x:row>
    <x:row r="14">
      <x:c r="A14" t="str">
        <x:v>Overall reduction</x:v>
      </x:c>
      <x:c r="F14" s="5" t="n">
        <x:f>(F12-F13)/F12</x:f>
        <x:v>0.671920428462127</x:v>
      </x:c>
    </x:row>
  </x:sheetData>
  <x:pageMargins left="0.7" right="0.7" top="0.75" bottom="0.75" header="0.3" footer="0.3"/>
</x:worksheet>
</file>